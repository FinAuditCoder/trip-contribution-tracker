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ash\Documents\"/>
    </mc:Choice>
  </mc:AlternateContent>
  <bookViews>
    <workbookView xWindow="0" yWindow="0" windowWidth="23040" windowHeight="9384" firstSheet="1" activeTab="2"/>
  </bookViews>
  <sheets>
    <sheet name="Individual Contribution Report" sheetId="2" r:id="rId1"/>
    <sheet name="Monthly Collection Summary" sheetId="4" r:id="rId2"/>
    <sheet name="Raw Data" sheetId="1" r:id="rId3"/>
  </sheets>
  <calcPr calcId="152511"/>
  <pivotCaches>
    <pivotCache cacheId="0" r:id="rId4"/>
    <pivotCache cacheId="5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L17" i="1" l="1"/>
  <c r="M17" i="1" s="1"/>
  <c r="N17" i="1" s="1"/>
  <c r="L16" i="1"/>
  <c r="M16" i="1" s="1"/>
  <c r="N16" i="1" s="1"/>
  <c r="L15" i="1"/>
  <c r="M15" i="1" s="1"/>
  <c r="N15" i="1" s="1"/>
  <c r="L14" i="1"/>
  <c r="M14" i="1" s="1"/>
  <c r="N14" i="1" s="1"/>
  <c r="L13" i="1"/>
  <c r="M13" i="1" s="1"/>
  <c r="N13" i="1" s="1"/>
  <c r="L12" i="1"/>
  <c r="L11" i="1"/>
  <c r="M11" i="1" s="1"/>
  <c r="L10" i="1"/>
  <c r="M10" i="1" s="1"/>
  <c r="N10" i="1" s="1"/>
  <c r="L9" i="1"/>
  <c r="M9" i="1" s="1"/>
  <c r="N9" i="1" s="1"/>
  <c r="L8" i="1"/>
  <c r="M8" i="1" s="1"/>
  <c r="N8" i="1" s="1"/>
  <c r="N11" i="1" l="1"/>
  <c r="N12" i="1"/>
  <c r="B4" i="1"/>
  <c r="B5" i="1" s="1"/>
  <c r="B6" i="1"/>
  <c r="M12" i="1"/>
</calcChain>
</file>

<file path=xl/sharedStrings.xml><?xml version="1.0" encoding="utf-8"?>
<sst xmlns="http://schemas.openxmlformats.org/spreadsheetml/2006/main" count="61" uniqueCount="41">
  <si>
    <t>PALESA</t>
  </si>
  <si>
    <t>DAISY</t>
  </si>
  <si>
    <t>LEBOHANG</t>
  </si>
  <si>
    <t>THEMBI</t>
  </si>
  <si>
    <t>SIYA</t>
  </si>
  <si>
    <t>PRINCESS</t>
  </si>
  <si>
    <t>THATO</t>
  </si>
  <si>
    <t>LETHABO</t>
  </si>
  <si>
    <t>FIFI</t>
  </si>
  <si>
    <t>BOKAMOSO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</si>
  <si>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</si>
  <si>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</si>
  <si>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</si>
  <si>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</si>
  <si>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</si>
  <si>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</si>
  <si>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</si>
  <si>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</si>
  <si>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</si>
  <si>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</si>
  <si>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Grand Total</t>
  </si>
  <si>
    <t>Row Labels</t>
  </si>
  <si>
    <t>Sum of FEBRUARY</t>
  </si>
  <si>
    <t>TOTAL PAID</t>
  </si>
  <si>
    <t>BALANCE REMAINING</t>
  </si>
  <si>
    <t>STATUS</t>
  </si>
  <si>
    <t>December Trip Contribution Summary</t>
  </si>
  <si>
    <t>Total Expected</t>
  </si>
  <si>
    <t>Total Collected</t>
  </si>
  <si>
    <t>Total Outstanding</t>
  </si>
  <si>
    <t>Progress</t>
  </si>
  <si>
    <t>NAME</t>
  </si>
  <si>
    <t>Sum of MARCH</t>
  </si>
  <si>
    <t>Sum of APRIL</t>
  </si>
  <si>
    <t>Sum of MAY</t>
  </si>
  <si>
    <t>Sum of JUNE</t>
  </si>
  <si>
    <t>Sum of JULY</t>
  </si>
  <si>
    <t>Sum of AUGUST</t>
  </si>
  <si>
    <t>Sum of SEPTEMBER</t>
  </si>
  <si>
    <t>Sum of OCTOBER</t>
  </si>
  <si>
    <t>Sum of 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</si>
</sst>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R-1C09]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0" fontId="0" fillId="0" borderId="5" xfId="0" applyBorder="1"/>
    <xf numFmtId="0" fontId="0" fillId="0" borderId="7" xfId="0" applyBorder="1"/>
    <xf numFmtId="0" fontId="2" fillId="2" borderId="2" xfId="0" applyFont="1" applyFill="1" applyBorder="1"/>
    <xf numFmtId="165" fontId="2" fillId="2" borderId="3" xfId="0" applyNumberFormat="1" applyFont="1" applyFill="1" applyBorder="1"/>
    <xf numFmtId="165" fontId="2" fillId="2" borderId="4" xfId="0" applyNumberFormat="1" applyFont="1" applyFill="1" applyBorder="1"/>
    <xf numFmtId="165" fontId="0" fillId="0" borderId="1" xfId="0" applyNumberFormat="1" applyBorder="1"/>
    <xf numFmtId="165" fontId="0" fillId="0" borderId="6" xfId="0" applyNumberFormat="1" applyBorder="1"/>
    <xf numFmtId="165" fontId="0" fillId="0" borderId="8" xfId="0" applyNumberFormat="1" applyBorder="1"/>
    <xf numFmtId="165" fontId="0" fillId="0" borderId="9" xfId="0" applyNumberFormat="1" applyBorder="1"/>
    <xf numFmtId="165" fontId="0" fillId="0" borderId="0" xfId="0" applyNumberFormat="1"/>
  </cellXfs>
  <cellStyles count="2">
    <cellStyle name="Normal" xfId="0" builtinId="0"/>
    <cellStyle name="Percent" xfId="1" builtinId="5"/>
  </cellStyles>
  <dxfs count="13">
    <dxf>
      <numFmt numFmtId="165" formatCode="[$R-1C09]#,##0"/>
    </dxf>
    <dxf>
      <numFmt numFmtId="165" formatCode="[$R-1C09]#,##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5" formatCode="[$R-1C09]#,##0"/>
    </dxf>
    <dxf>
      <numFmt numFmtId="165" formatCode="[$R-1C09]#,##0"/>
    </dxf>
    <dxf>
      <numFmt numFmtId="164" formatCode="&quot;$&quot;#,##0.00"/>
    </dxf>
    <dxf>
      <numFmt numFmtId="165" formatCode="[$R-1C09]#,##0"/>
    </dxf>
    <dxf>
      <numFmt numFmtId="164" formatCode="&quot;$&quot;#,##0.00"/>
    </dxf>
    <dxf>
      <numFmt numFmtId="165" formatCode="[$R-1C09]#,##0"/>
    </dxf>
    <dxf>
      <numFmt numFmtId="165" formatCode="[$R-1C09]#,##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ash" refreshedDate="46079.429394560182" createdVersion="5" refreshedVersion="5" minRefreshableVersion="3" recordCount="12">
  <cacheSource type="worksheet">
    <worksheetSource ref="A7:K19" sheet="Raw Data"/>
  </cacheSource>
  <cacheFields count="11">
    <cacheField name="NAMES" numFmtId="0">
      <sharedItems containsBlank="1" count="11">
        <s v="PALESA"/>
        <s v="DAISY"/>
        <s v="LEBOHANG"/>
        <s v="THEMBI"/>
        <s v="SIYA"/>
        <s v="PRINCESS"/>
        <s v="THATO"/>
        <s v="LETHABO"/>
        <s v="FIFI"/>
        <s v="BOKAMOSO"/>
        <m/>
      </sharedItems>
    </cacheField>
    <cacheField name="FEBRUARY" numFmtId="0">
      <sharedItems containsBlank="1" containsMixedTypes="1" containsNumber="1" containsInteger="1" minValue="300" maxValue="300"/>
    </cacheField>
    <cacheField name="MARCH" numFmtId="0">
      <sharedItems containsNonDate="0" containsString="0" containsBlank="1"/>
    </cacheField>
    <cacheField name="APRIL" numFmtId="0">
      <sharedItems containsNonDate="0" containsString="0" containsBlank="1"/>
    </cacheField>
    <cacheField name="MAY" numFmtId="0">
      <sharedItems containsNonDate="0" containsString="0" containsBlank="1"/>
    </cacheField>
    <cacheField name="JUNE" numFmtId="0">
      <sharedItems containsNonDate="0" containsString="0" containsBlank="1"/>
    </cacheField>
    <cacheField name="JULY" numFmtId="0">
      <sharedItems containsNonDate="0" containsString="0" containsBlank="1"/>
    </cacheField>
    <cacheField name="AUGUST" numFmtId="0">
      <sharedItems containsNonDate="0" containsString="0" containsBlank="1"/>
    </cacheField>
    <cacheField name="SEPTEMBER" numFmtId="0">
      <sharedItems containsNonDate="0" containsString="0" containsBlank="1"/>
    </cacheField>
    <cacheField name="OCTOBER" numFmtId="0">
      <sharedItems containsNonDate="0" containsString="0" containsBlank="1"/>
    </cacheField>
    <cacheField name="NOVEMBE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Cash" refreshedDate="46080.469926157406" createdVersion="5" refreshedVersion="5" minRefreshableVersion="3" recordCount="10">
  <cacheSource type="worksheet">
    <worksheetSource ref="A7:N17" sheet="Raw Data"/>
  </cacheSource>
  <cacheFields count="14">
    <cacheField name="NAME" numFmtId="0">
      <sharedItems/>
    </cacheField>
    <cacheField name="FEBRUARY" numFmtId="165">
      <sharedItems containsString="0" containsBlank="1" containsNumber="1" containsInteger="1" minValue="300" maxValue="300"/>
    </cacheField>
    <cacheField name="MARCH" numFmtId="165">
      <sharedItems containsNonDate="0" containsString="0" containsBlank="1"/>
    </cacheField>
    <cacheField name="APRIL" numFmtId="165">
      <sharedItems containsNonDate="0" containsString="0" containsBlank="1"/>
    </cacheField>
    <cacheField name="MAY" numFmtId="165">
      <sharedItems containsNonDate="0" containsString="0" containsBlank="1"/>
    </cacheField>
    <cacheField name="JUNE" numFmtId="165">
      <sharedItems containsNonDate="0" containsString="0" containsBlank="1"/>
    </cacheField>
    <cacheField name="JULY" numFmtId="165">
      <sharedItems containsNonDate="0" containsString="0" containsBlank="1"/>
    </cacheField>
    <cacheField name="AUGUST" numFmtId="165">
      <sharedItems containsNonDate="0" containsString="0" containsBlank="1"/>
    </cacheField>
    <cacheField name="SEPTEMBER" numFmtId="165">
      <sharedItems containsNonDate="0" containsString="0" containsBlank="1"/>
    </cacheField>
    <cacheField name="OCTOBER" numFmtId="165">
      <sharedItems containsNonDate="0" containsString="0" containsBlank="1"/>
    </cacheField>
    <cacheField name="NOVEMBER" numFmtId="165">
      <sharedItems containsNonDate="0" containsString="0" containsBlank="1"/>
    </cacheField>
    <cacheField name="TOTAL PAID" numFmtId="165">
      <sharedItems containsSemiMixedTypes="0" containsString="0" containsNumber="1" containsInteger="1" minValue="0" maxValue="300"/>
    </cacheField>
    <cacheField name="BALANCE REMAINING" numFmtId="165">
      <sharedItems containsSemiMixedTypes="0" containsString="0" containsNumber="1" containsInteger="1" minValue="2700" maxValue="3000"/>
    </cacheField>
    <cacheField name="STATUS" numFmtId="165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m/>
    <m/>
    <m/>
    <m/>
    <m/>
    <m/>
    <m/>
    <m/>
    <m/>
    <m/>
  </r>
  <r>
    <x v="1"/>
    <m/>
    <m/>
    <m/>
    <m/>
    <m/>
    <m/>
    <m/>
    <m/>
    <m/>
    <m/>
  </r>
  <r>
    <x v="2"/>
    <m/>
    <m/>
    <m/>
    <m/>
    <m/>
    <m/>
    <m/>
    <m/>
    <m/>
    <m/>
  </r>
  <r>
    <x v="3"/>
    <m/>
    <m/>
    <m/>
    <m/>
    <m/>
    <m/>
    <m/>
    <m/>
    <m/>
    <m/>
  </r>
  <r>
    <x v="4"/>
    <m/>
    <m/>
    <m/>
    <m/>
    <m/>
    <m/>
    <m/>
    <m/>
    <m/>
    <m/>
  </r>
  <r>
    <x v="5"/>
    <m/>
    <m/>
    <m/>
    <m/>
    <m/>
    <m/>
    <m/>
    <m/>
    <m/>
    <m/>
  </r>
  <r>
    <x v="6"/>
    <m/>
    <m/>
    <m/>
    <m/>
    <m/>
    <m/>
    <m/>
    <m/>
    <m/>
    <m/>
  </r>
  <r>
    <x v="7"/>
    <m/>
    <m/>
    <m/>
    <m/>
    <m/>
    <m/>
    <m/>
    <m/>
    <m/>
    <m/>
  </r>
  <r>
    <x v="8"/>
    <m/>
    <m/>
    <m/>
    <m/>
    <m/>
    <m/>
    <m/>
    <m/>
    <m/>
    <m/>
  </r>
  <r>
    <x v="9"/>
    <n v="300"/>
    <m/>
    <m/>
    <m/>
    <m/>
    <m/>
    <m/>
    <m/>
    <m/>
    <m/>
  </r>
  <r>
    <x v="10"/>
    <m/>
    <m/>
    <m/>
    <m/>
    <m/>
    <m/>
    <m/>
    <m/>
    <m/>
    <m/>
  </r>
  <r>
    <x v="10"/>
    <s v="TOTAL"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">
  <r>
    <s v="PALESA"/>
    <m/>
    <m/>
    <m/>
    <m/>
    <m/>
    <m/>
    <m/>
    <m/>
    <m/>
    <m/>
    <n v="0"/>
    <n v="3000"/>
    <s v="Owing"/>
  </r>
  <r>
    <s v="DAISY"/>
    <m/>
    <m/>
    <m/>
    <m/>
    <m/>
    <m/>
    <m/>
    <m/>
    <m/>
    <m/>
    <n v="0"/>
    <n v="3000"/>
    <s v="Owing"/>
  </r>
  <r>
    <s v="LEBOHANG"/>
    <m/>
    <m/>
    <m/>
    <m/>
    <m/>
    <m/>
    <m/>
    <m/>
    <m/>
    <m/>
    <n v="0"/>
    <n v="3000"/>
    <s v="Owing"/>
  </r>
  <r>
    <s v="THEMBI"/>
    <m/>
    <m/>
    <m/>
    <m/>
    <m/>
    <m/>
    <m/>
    <m/>
    <m/>
    <m/>
    <n v="0"/>
    <n v="3000"/>
    <s v="Owing"/>
  </r>
  <r>
    <s v="SIYA"/>
    <m/>
    <m/>
    <m/>
    <m/>
    <m/>
    <m/>
    <m/>
    <m/>
    <m/>
    <m/>
    <n v="0"/>
    <n v="3000"/>
    <s v="Owing"/>
  </r>
  <r>
    <s v="PRINCESS"/>
    <m/>
    <m/>
    <m/>
    <m/>
    <m/>
    <m/>
    <m/>
    <m/>
    <m/>
    <m/>
    <n v="0"/>
    <n v="3000"/>
    <s v="Owing"/>
  </r>
  <r>
    <s v="THATO"/>
    <m/>
    <m/>
    <m/>
    <m/>
    <m/>
    <m/>
    <m/>
    <m/>
    <m/>
    <m/>
    <n v="0"/>
    <n v="3000"/>
    <s v="Owing"/>
  </r>
  <r>
    <s v="LETHABO"/>
    <m/>
    <m/>
    <m/>
    <m/>
    <m/>
    <m/>
    <m/>
    <m/>
    <m/>
    <m/>
    <n v="0"/>
    <n v="3000"/>
    <s v="Owing"/>
  </r>
  <r>
    <s v="FIFI"/>
    <m/>
    <m/>
    <m/>
    <m/>
    <m/>
    <m/>
    <m/>
    <m/>
    <m/>
    <m/>
    <n v="0"/>
    <n v="3000"/>
    <s v="Owing"/>
  </r>
  <r>
    <s v="BOKAMOSO"/>
    <n v="300"/>
    <m/>
    <m/>
    <m/>
    <m/>
    <m/>
    <m/>
    <m/>
    <m/>
    <m/>
    <n v="300"/>
    <n v="2700"/>
    <s v="Ow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K14" firstHeaderRow="0" firstDataRow="1" firstDataCol="1"/>
  <pivotFields count="11">
    <pivotField axis="axisRow" showAll="0">
      <items count="12">
        <item x="9"/>
        <item x="1"/>
        <item x="8"/>
        <item x="2"/>
        <item x="7"/>
        <item x="0"/>
        <item x="5"/>
        <item x="4"/>
        <item x="6"/>
        <item x="3"/>
        <item h="1" x="1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FEBRUARY" fld="1" baseField="0" baseItem="0"/>
    <dataField name="Sum of MARCH" fld="2" baseField="0" baseItem="0"/>
    <dataField name="Sum of APRIL" fld="3" baseField="0" baseItem="0"/>
    <dataField name="Sum of MAY" fld="4" baseField="0" baseItem="0"/>
    <dataField name="Sum of JUNE" fld="5" baseField="0" baseItem="0"/>
    <dataField name="Sum of JULY" fld="6" baseField="0" baseItem="0"/>
    <dataField name="Sum of AUGUST" fld="7" baseField="0" baseItem="0"/>
    <dataField name="Sum of SEPTEMBER" fld="8" baseField="0" baseItem="0"/>
    <dataField name="Sum of OCTOBER" fld="9" baseField="0" baseItem="0"/>
    <dataField name="Sum of NOVEMBER" fld="10" baseField="0" baseItem="0"/>
  </dataFields>
  <formats count="2">
    <format dxfId="10">
      <pivotArea outline="0" collapsedLevelsAreSubtotals="1" fieldPosition="0"/>
    </format>
    <format dxfId="8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4" firstHeaderRow="0" firstDataRow="1" firstDataCol="0"/>
  <pivotFields count="14"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</pivotFields>
  <rowItems count="1">
    <i/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FEBRUARY" fld="1" baseField="0" baseItem="1"/>
    <dataField name="Sum of MARCH" fld="2" baseField="0" baseItem="1"/>
    <dataField name="Sum of APRIL" fld="3" baseField="0" baseItem="2"/>
    <dataField name="Sum of MAY" fld="4" baseField="0" baseItem="3"/>
    <dataField name="Sum of JUNE" fld="5" baseField="0" baseItem="4"/>
    <dataField name="Sum of JULY" fld="6" baseField="0" baseItem="5"/>
    <dataField name="Sum of AUGUST" fld="7" baseField="0" baseItem="6"/>
    <dataField name="Sum of SEPTEMBER" fld="8" baseField="0" baseItem="7"/>
    <dataField name="Sum of OCTOBER" fld="9" baseField="0" baseItem="8"/>
    <dataField name="Sum of NOVEMBER" fld="10" baseField="0" baseItem="9"/>
  </dataFields>
  <formats count="3">
    <format dxfId="5">
      <pivotArea type="all" dataOnly="0" outline="0" fieldPosition="0"/>
    </format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4"/>
  <sheetViews>
    <sheetView workbookViewId="0">
      <selection activeCell="F22" sqref="F22"/>
    </sheetView>
  </sheetViews>
  <sheetFormatPr defaultRowHeight="14.4" x14ac:dyDescent="0.3"/>
  <cols>
    <col min="1" max="1" width="12.5546875" customWidth="1"/>
    <col min="2" max="2" width="16.33203125" bestFit="1" customWidth="1"/>
    <col min="3" max="3" width="14" bestFit="1" customWidth="1"/>
    <col min="4" max="4" width="12.33203125" bestFit="1" customWidth="1"/>
    <col min="5" max="5" width="11.44140625" bestFit="1" customWidth="1"/>
    <col min="6" max="6" width="11.77734375" bestFit="1" customWidth="1"/>
    <col min="7" max="7" width="11.33203125" bestFit="1" customWidth="1"/>
    <col min="8" max="8" width="14.6640625" bestFit="1" customWidth="1"/>
    <col min="9" max="9" width="17.77734375" bestFit="1" customWidth="1"/>
    <col min="10" max="10" width="15.5546875" bestFit="1" customWidth="1"/>
    <col min="11" max="11" width="17.5546875" bestFit="1" customWidth="1"/>
  </cols>
  <sheetData>
    <row r="3" spans="1:11" x14ac:dyDescent="0.3">
      <c r="A3" s="1" t="s">
        <v>21</v>
      </c>
      <c r="B3" s="13" t="s">
        <v>22</v>
      </c>
      <c r="C3" s="13" t="s">
        <v>32</v>
      </c>
      <c r="D3" s="13" t="s">
        <v>33</v>
      </c>
      <c r="E3" s="13" t="s">
        <v>34</v>
      </c>
      <c r="F3" s="13" t="s">
        <v>35</v>
      </c>
      <c r="G3" s="13" t="s">
        <v>36</v>
      </c>
      <c r="H3" s="13" t="s">
        <v>37</v>
      </c>
      <c r="I3" s="13" t="s">
        <v>38</v>
      </c>
      <c r="J3" s="13" t="s">
        <v>39</v>
      </c>
      <c r="K3" s="13" t="s">
        <v>40</v>
      </c>
    </row>
    <row r="4" spans="1:11" x14ac:dyDescent="0.3">
      <c r="A4" s="2" t="s">
        <v>9</v>
      </c>
      <c r="B4" s="13">
        <v>300</v>
      </c>
      <c r="C4" s="13"/>
      <c r="D4" s="13"/>
      <c r="E4" s="13"/>
      <c r="F4" s="13"/>
      <c r="G4" s="13"/>
      <c r="H4" s="13"/>
      <c r="I4" s="13"/>
      <c r="J4" s="13"/>
      <c r="K4" s="13"/>
    </row>
    <row r="5" spans="1:11" x14ac:dyDescent="0.3">
      <c r="A5" s="2" t="s">
        <v>1</v>
      </c>
      <c r="B5" s="13"/>
      <c r="C5" s="13"/>
      <c r="D5" s="13"/>
      <c r="E5" s="13"/>
      <c r="F5" s="13"/>
      <c r="G5" s="13"/>
      <c r="H5" s="13"/>
      <c r="I5" s="13"/>
      <c r="J5" s="13"/>
      <c r="K5" s="13"/>
    </row>
    <row r="6" spans="1:11" x14ac:dyDescent="0.3">
      <c r="A6" s="2" t="s">
        <v>8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1" x14ac:dyDescent="0.3">
      <c r="A7" s="2" t="s">
        <v>2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x14ac:dyDescent="0.3">
      <c r="A8" s="2" t="s">
        <v>7</v>
      </c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1" x14ac:dyDescent="0.3">
      <c r="A9" s="2" t="s">
        <v>0</v>
      </c>
      <c r="B9" s="13"/>
      <c r="C9" s="13"/>
      <c r="D9" s="13"/>
      <c r="E9" s="13"/>
      <c r="F9" s="13"/>
      <c r="G9" s="13"/>
      <c r="H9" s="13"/>
      <c r="I9" s="13"/>
      <c r="J9" s="13"/>
      <c r="K9" s="13"/>
    </row>
    <row r="10" spans="1:11" x14ac:dyDescent="0.3">
      <c r="A10" s="2" t="s">
        <v>5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1" x14ac:dyDescent="0.3">
      <c r="A11" s="2" t="s">
        <v>4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x14ac:dyDescent="0.3">
      <c r="A12" s="2" t="s">
        <v>6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spans="1:11" x14ac:dyDescent="0.3">
      <c r="A13" s="2" t="s">
        <v>3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spans="1:11" x14ac:dyDescent="0.3">
      <c r="A14" s="2" t="s">
        <v>20</v>
      </c>
      <c r="B14" s="13">
        <v>300</v>
      </c>
      <c r="C14" s="13"/>
      <c r="D14" s="13"/>
      <c r="E14" s="13"/>
      <c r="F14" s="13"/>
      <c r="G14" s="13"/>
      <c r="H14" s="13"/>
      <c r="I14" s="13"/>
      <c r="J14" s="13"/>
      <c r="K14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A3" sqref="A3:J4"/>
    </sheetView>
  </sheetViews>
  <sheetFormatPr defaultRowHeight="14.4" x14ac:dyDescent="0.3"/>
  <cols>
    <col min="1" max="1" width="16.33203125" customWidth="1"/>
    <col min="2" max="2" width="14" customWidth="1"/>
    <col min="3" max="3" width="12.33203125" customWidth="1"/>
    <col min="4" max="4" width="11.44140625" customWidth="1"/>
    <col min="5" max="5" width="11.77734375" customWidth="1"/>
    <col min="6" max="6" width="11.33203125" customWidth="1"/>
    <col min="7" max="7" width="14.6640625" customWidth="1"/>
    <col min="8" max="8" width="17.77734375" customWidth="1"/>
    <col min="9" max="9" width="15.5546875" customWidth="1"/>
    <col min="10" max="10" width="17.5546875" customWidth="1"/>
  </cols>
  <sheetData>
    <row r="1" spans="1:10" x14ac:dyDescent="0.3">
      <c r="A1" s="13"/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3">
      <c r="A2" s="13"/>
      <c r="B2" s="13"/>
      <c r="C2" s="13"/>
      <c r="D2" s="13"/>
      <c r="E2" s="13"/>
      <c r="F2" s="13"/>
      <c r="G2" s="13"/>
      <c r="H2" s="13"/>
      <c r="I2" s="13"/>
      <c r="J2" s="13"/>
    </row>
    <row r="3" spans="1:10" x14ac:dyDescent="0.3">
      <c r="A3" s="13" t="s">
        <v>22</v>
      </c>
      <c r="B3" s="13" t="s">
        <v>32</v>
      </c>
      <c r="C3" s="13" t="s">
        <v>33</v>
      </c>
      <c r="D3" s="13" t="s">
        <v>34</v>
      </c>
      <c r="E3" s="13" t="s">
        <v>35</v>
      </c>
      <c r="F3" s="13" t="s">
        <v>36</v>
      </c>
      <c r="G3" s="13" t="s">
        <v>37</v>
      </c>
      <c r="H3" s="13" t="s">
        <v>38</v>
      </c>
      <c r="I3" s="13" t="s">
        <v>39</v>
      </c>
      <c r="J3" s="13" t="s">
        <v>40</v>
      </c>
    </row>
    <row r="4" spans="1:10" x14ac:dyDescent="0.3">
      <c r="A4" s="13">
        <v>300</v>
      </c>
      <c r="B4" s="13"/>
      <c r="C4" s="13"/>
      <c r="D4" s="13"/>
      <c r="E4" s="13"/>
      <c r="F4" s="13"/>
      <c r="G4" s="13"/>
      <c r="H4" s="13"/>
      <c r="I4" s="13"/>
      <c r="J4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pane ySplit="7" topLeftCell="A8" activePane="bottomLeft" state="frozen"/>
      <selection pane="bottomLeft" activeCell="A3" sqref="A3:B5"/>
    </sheetView>
  </sheetViews>
  <sheetFormatPr defaultRowHeight="14.4" x14ac:dyDescent="0.3"/>
  <cols>
    <col min="1" max="9" width="17.77734375" customWidth="1"/>
    <col min="10" max="10" width="17.6640625" customWidth="1"/>
    <col min="11" max="12" width="17.77734375" customWidth="1"/>
    <col min="13" max="13" width="19.33203125" customWidth="1"/>
  </cols>
  <sheetData>
    <row r="1" spans="1:14" x14ac:dyDescent="0.3">
      <c r="A1" t="s">
        <v>26</v>
      </c>
    </row>
    <row r="3" spans="1:14" x14ac:dyDescent="0.3">
      <c r="A3" s="13" t="s">
        <v>27</v>
      </c>
      <c r="B3" s="13">
        <f>3000*10</f>
        <v>30000</v>
      </c>
    </row>
    <row r="4" spans="1:14" x14ac:dyDescent="0.3">
      <c r="A4" s="13" t="s">
        <v>28</v>
      </c>
      <c r="B4" s="13">
        <f>SUM(L8:L17)</f>
        <v>300</v>
      </c>
    </row>
    <row r="5" spans="1:14" x14ac:dyDescent="0.3">
      <c r="A5" s="13" t="s">
        <v>29</v>
      </c>
      <c r="B5" s="13">
        <f>B3-B4</f>
        <v>29700</v>
      </c>
    </row>
    <row r="6" spans="1:14" ht="15" thickBot="1" x14ac:dyDescent="0.35">
      <c r="A6" t="s">
        <v>30</v>
      </c>
      <c r="B6" s="3">
        <f>B4/B3</f>
        <v>0.01</v>
      </c>
    </row>
    <row r="7" spans="1:14" x14ac:dyDescent="0.3">
      <c r="A7" s="6" t="s">
        <v>31</v>
      </c>
      <c r="B7" s="7" t="s">
        <v>10</v>
      </c>
      <c r="C7" s="7" t="s">
        <v>11</v>
      </c>
      <c r="D7" s="7" t="s">
        <v>12</v>
      </c>
      <c r="E7" s="7" t="s">
        <v>13</v>
      </c>
      <c r="F7" s="7" t="s">
        <v>14</v>
      </c>
      <c r="G7" s="7" t="s">
        <v>15</v>
      </c>
      <c r="H7" s="7" t="s">
        <v>16</v>
      </c>
      <c r="I7" s="7" t="s">
        <v>17</v>
      </c>
      <c r="J7" s="7" t="s">
        <v>18</v>
      </c>
      <c r="K7" s="7" t="s">
        <v>19</v>
      </c>
      <c r="L7" s="7" t="s">
        <v>23</v>
      </c>
      <c r="M7" s="7" t="s">
        <v>24</v>
      </c>
      <c r="N7" s="8" t="s">
        <v>25</v>
      </c>
    </row>
    <row r="8" spans="1:14" x14ac:dyDescent="0.3">
      <c r="A8" s="4" t="s">
        <v>0</v>
      </c>
      <c r="B8" s="9"/>
      <c r="C8" s="9"/>
      <c r="D8" s="9"/>
      <c r="E8" s="9"/>
      <c r="F8" s="9"/>
      <c r="G8" s="9"/>
      <c r="H8" s="9"/>
      <c r="I8" s="9"/>
      <c r="J8" s="9"/>
      <c r="K8" s="9"/>
      <c r="L8" s="9">
        <f t="shared" ref="L8:L17" si="0">SUM(B8:K8)</f>
        <v>0</v>
      </c>
      <c r="M8" s="9">
        <f t="shared" ref="M8:M17" si="1">3000-L8</f>
        <v>3000</v>
      </c>
      <c r="N8" s="10" t="str">
        <f>IF(M8&lt;=0,"Fully Paid","Owing")</f>
        <v>Owing</v>
      </c>
    </row>
    <row r="9" spans="1:14" x14ac:dyDescent="0.3">
      <c r="A9" s="4" t="s">
        <v>1</v>
      </c>
      <c r="B9" s="9"/>
      <c r="C9" s="9"/>
      <c r="D9" s="9"/>
      <c r="E9" s="9"/>
      <c r="F9" s="9"/>
      <c r="G9" s="9"/>
      <c r="H9" s="9"/>
      <c r="I9" s="9"/>
      <c r="J9" s="9"/>
      <c r="K9" s="9"/>
      <c r="L9" s="9">
        <f t="shared" si="0"/>
        <v>0</v>
      </c>
      <c r="M9" s="9">
        <f t="shared" si="1"/>
        <v>3000</v>
      </c>
      <c r="N9" s="10" t="str">
        <f>IF(M9&lt;=0,"Fully Paid","Owing")</f>
        <v>Owing</v>
      </c>
    </row>
    <row r="10" spans="1:14" x14ac:dyDescent="0.3">
      <c r="A10" s="4" t="s">
        <v>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>
        <f t="shared" si="0"/>
        <v>0</v>
      </c>
      <c r="M10" s="9">
        <f t="shared" si="1"/>
        <v>3000</v>
      </c>
      <c r="N10" s="10" t="str">
        <f>IF(M10&lt;=0,"Fully Paid","Owing")</f>
        <v>Owing</v>
      </c>
    </row>
    <row r="11" spans="1:14" x14ac:dyDescent="0.3">
      <c r="A11" s="4" t="s">
        <v>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>
        <f t="shared" si="0"/>
        <v>0</v>
      </c>
      <c r="M11" s="9">
        <f t="shared" si="1"/>
        <v>3000</v>
      </c>
      <c r="N11" s="10" t="str">
        <f>IF(M11&lt;=0,"Fully Paid","Owing")</f>
        <v>Owing</v>
      </c>
    </row>
    <row r="12" spans="1:14" x14ac:dyDescent="0.3">
      <c r="A12" s="4" t="s">
        <v>4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>
        <f t="shared" si="0"/>
        <v>0</v>
      </c>
      <c r="M12" s="9">
        <f t="shared" si="1"/>
        <v>3000</v>
      </c>
      <c r="N12" s="10" t="str">
        <f>IF(M11&lt;=0,"Fully Paid","Owing")</f>
        <v>Owing</v>
      </c>
    </row>
    <row r="13" spans="1:14" x14ac:dyDescent="0.3">
      <c r="A13" s="4" t="s">
        <v>5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>
        <f t="shared" si="0"/>
        <v>0</v>
      </c>
      <c r="M13" s="9">
        <f t="shared" si="1"/>
        <v>3000</v>
      </c>
      <c r="N13" s="10" t="str">
        <f>IF(M13&lt;=0,"Fully Paid","Owing")</f>
        <v>Owing</v>
      </c>
    </row>
    <row r="14" spans="1:14" x14ac:dyDescent="0.3">
      <c r="A14" s="4" t="s">
        <v>6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>
        <f t="shared" si="0"/>
        <v>0</v>
      </c>
      <c r="M14" s="9">
        <f t="shared" si="1"/>
        <v>3000</v>
      </c>
      <c r="N14" s="10" t="str">
        <f>IF(M14&lt;=0,"Fully Paid","Owing")</f>
        <v>Owing</v>
      </c>
    </row>
    <row r="15" spans="1:14" x14ac:dyDescent="0.3">
      <c r="A15" s="4" t="s">
        <v>7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>
        <f t="shared" si="0"/>
        <v>0</v>
      </c>
      <c r="M15" s="9">
        <f t="shared" si="1"/>
        <v>3000</v>
      </c>
      <c r="N15" s="10" t="str">
        <f>IF(M15&lt;=0,"Fully Paid","Owing")</f>
        <v>Owing</v>
      </c>
    </row>
    <row r="16" spans="1:14" x14ac:dyDescent="0.3">
      <c r="A16" s="4" t="s">
        <v>8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>
        <f t="shared" si="0"/>
        <v>0</v>
      </c>
      <c r="M16" s="9">
        <f t="shared" si="1"/>
        <v>3000</v>
      </c>
      <c r="N16" s="10" t="str">
        <f>IF(M16&lt;=0,"Fully Paid","Owing")</f>
        <v>Owing</v>
      </c>
    </row>
    <row r="17" spans="1:14" ht="15" thickBot="1" x14ac:dyDescent="0.35">
      <c r="A17" s="5" t="s">
        <v>9</v>
      </c>
      <c r="B17" s="11">
        <v>300</v>
      </c>
      <c r="C17" s="11"/>
      <c r="D17" s="11"/>
      <c r="E17" s="11"/>
      <c r="F17" s="11"/>
      <c r="G17" s="11"/>
      <c r="H17" s="11"/>
      <c r="I17" s="11"/>
      <c r="J17" s="11"/>
      <c r="K17" s="11"/>
      <c r="L17" s="11">
        <f t="shared" si="0"/>
        <v>300</v>
      </c>
      <c r="M17" s="11">
        <f t="shared" si="1"/>
        <v>2700</v>
      </c>
      <c r="N17" s="12" t="str">
        <f>IF(M17&lt;=0,"Fully Paid","Owing")</f>
        <v>Owing</v>
      </c>
    </row>
  </sheetData>
  <conditionalFormatting sqref="B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{3EB54DDD-2517-4DE5-BBFF-3A4FDDDA4FD2}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B54DDD-2517-4DE5-BBFF-3A4FDDDA4F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Individual Contribution Report</vt:lpstr>
      <vt:lpstr>Monthly Collection Summary</vt:lpstr>
      <vt:lpstr>Raw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Cash</dc:creator>
  <cp:lastModifiedBy>Cash</cp:lastModifiedBy>
  <dcterms:created xsi:type="dcterms:W3CDTF">2026-02-25T06:07:35Z</dcterms:created>
  <dcterms:modified xsi:type="dcterms:W3CDTF">2026-02-27T09:22:08Z</dcterms:modified>
</cp:coreProperties>
</file>